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sa\Dropbox\STUDY_Master\Research\Final\"/>
    </mc:Choice>
  </mc:AlternateContent>
  <xr:revisionPtr revIDLastSave="0" documentId="13_ncr:1_{491A0082-1167-40DD-B4E0-E09E75CA9209}" xr6:coauthVersionLast="33" xr6:coauthVersionMax="33" xr10:uidLastSave="{00000000-0000-0000-0000-000000000000}"/>
  <bookViews>
    <workbookView xWindow="0" yWindow="0" windowWidth="28800" windowHeight="11775" xr2:uid="{00000000-000D-0000-FFFF-FFFF00000000}"/>
  </bookViews>
  <sheets>
    <sheet name="Sheet1" sheetId="1" r:id="rId1"/>
    <sheet name="Sheet2" sheetId="2" r:id="rId2"/>
    <sheet name="i" sheetId="4" r:id="rId3"/>
    <sheet name="Tabelle1" sheetId="3" r:id="rId4"/>
  </sheets>
  <calcPr calcId="179017" iterateCount="1"/>
</workbook>
</file>

<file path=xl/calcChain.xml><?xml version="1.0" encoding="utf-8"?>
<calcChain xmlns="http://schemas.openxmlformats.org/spreadsheetml/2006/main">
  <c r="I36" i="1" l="1"/>
  <c r="H36" i="1"/>
  <c r="G36" i="1"/>
  <c r="F36" i="1"/>
  <c r="E36" i="1"/>
  <c r="D36" i="1"/>
  <c r="C36" i="1"/>
  <c r="B36" i="1"/>
  <c r="I35" i="1"/>
  <c r="H35" i="1"/>
  <c r="G35" i="1"/>
  <c r="F35" i="1"/>
  <c r="E35" i="1"/>
  <c r="D35" i="1"/>
  <c r="C35" i="1"/>
  <c r="B35" i="1"/>
  <c r="I34" i="1"/>
  <c r="H34" i="1"/>
  <c r="G34" i="1"/>
  <c r="F34" i="1"/>
  <c r="E34" i="1"/>
  <c r="D34" i="1"/>
  <c r="C34" i="1"/>
  <c r="B34" i="1"/>
  <c r="I33" i="1"/>
  <c r="H33" i="1"/>
  <c r="G33" i="1"/>
  <c r="F33" i="1"/>
  <c r="E33" i="1"/>
  <c r="D33" i="1"/>
  <c r="C33" i="1"/>
  <c r="B33" i="1"/>
  <c r="I32" i="1"/>
  <c r="H32" i="1"/>
  <c r="G32" i="1"/>
  <c r="F32" i="1"/>
  <c r="E32" i="1"/>
  <c r="D32" i="1"/>
  <c r="C32" i="1"/>
  <c r="B32" i="1"/>
  <c r="I31" i="1"/>
  <c r="H31" i="1"/>
  <c r="G31" i="1"/>
  <c r="F31" i="1"/>
  <c r="E31" i="1"/>
  <c r="D31" i="1"/>
  <c r="C31" i="1"/>
  <c r="B31" i="1"/>
  <c r="I30" i="1"/>
  <c r="H30" i="1"/>
  <c r="G30" i="1"/>
  <c r="F30" i="1"/>
  <c r="E30" i="1"/>
  <c r="D30" i="1"/>
  <c r="C30" i="1"/>
  <c r="B30" i="1"/>
  <c r="I29" i="1"/>
  <c r="H29" i="1"/>
  <c r="G29" i="1"/>
  <c r="F29" i="1"/>
  <c r="E29" i="1"/>
  <c r="D29" i="1"/>
  <c r="C29" i="1"/>
  <c r="B29" i="1"/>
  <c r="I28" i="1"/>
  <c r="H28" i="1"/>
  <c r="G28" i="1"/>
  <c r="F28" i="1"/>
  <c r="E28" i="1"/>
  <c r="D28" i="1"/>
  <c r="C28" i="1"/>
  <c r="B28" i="1"/>
  <c r="I27" i="1"/>
  <c r="H27" i="1"/>
  <c r="G27" i="1"/>
  <c r="F27" i="1"/>
  <c r="E27" i="1"/>
  <c r="D27" i="1"/>
  <c r="C27" i="1"/>
  <c r="B27" i="1"/>
  <c r="I26" i="1"/>
  <c r="H26" i="1"/>
  <c r="G26" i="1"/>
  <c r="F26" i="1"/>
  <c r="E26" i="1"/>
  <c r="D26" i="1"/>
  <c r="C26" i="1"/>
  <c r="B26" i="1"/>
  <c r="I25" i="1"/>
  <c r="H25" i="1"/>
  <c r="G25" i="1"/>
  <c r="F25" i="1"/>
  <c r="E25" i="1"/>
  <c r="D25" i="1"/>
  <c r="C25" i="1"/>
  <c r="B25" i="1"/>
  <c r="A2" i="4" l="1"/>
  <c r="J2" i="4"/>
  <c r="K2" i="4"/>
  <c r="L2" i="4"/>
  <c r="N2" i="4"/>
  <c r="O2" i="4"/>
  <c r="A3" i="4"/>
  <c r="J3" i="4"/>
  <c r="K3" i="4"/>
  <c r="L3" i="4"/>
  <c r="N3" i="4"/>
  <c r="O3" i="4"/>
  <c r="A4" i="4"/>
  <c r="J4" i="4"/>
  <c r="K4" i="4"/>
  <c r="L4" i="4"/>
  <c r="N4" i="4"/>
  <c r="O4" i="4"/>
  <c r="A5" i="4"/>
  <c r="J5" i="4"/>
  <c r="K5" i="4"/>
  <c r="L5" i="4"/>
  <c r="N5" i="4"/>
  <c r="O5" i="4"/>
  <c r="A6" i="4"/>
  <c r="J6" i="4"/>
  <c r="K6" i="4"/>
  <c r="L6" i="4"/>
  <c r="N6" i="4"/>
  <c r="O6" i="4"/>
  <c r="A7" i="4"/>
  <c r="J7" i="4"/>
  <c r="K7" i="4"/>
  <c r="L7" i="4"/>
  <c r="N7" i="4"/>
  <c r="O7" i="4"/>
  <c r="A8" i="4"/>
  <c r="J8" i="4"/>
  <c r="K8" i="4"/>
  <c r="L8" i="4"/>
  <c r="N8" i="4"/>
  <c r="O8" i="4"/>
  <c r="A9" i="4"/>
  <c r="J9" i="4"/>
  <c r="K9" i="4"/>
  <c r="L9" i="4"/>
  <c r="N9" i="4"/>
  <c r="O9" i="4"/>
  <c r="A10" i="4"/>
  <c r="J10" i="4"/>
  <c r="K10" i="4"/>
  <c r="L10" i="4"/>
  <c r="N10" i="4"/>
  <c r="O10" i="4"/>
  <c r="A11" i="4"/>
  <c r="J11" i="4"/>
  <c r="K11" i="4"/>
  <c r="L11" i="4"/>
  <c r="N11" i="4"/>
  <c r="O11" i="4"/>
  <c r="A12" i="4"/>
  <c r="J12" i="4"/>
  <c r="K12" i="4"/>
  <c r="L12" i="4"/>
  <c r="N12" i="4"/>
  <c r="O12" i="4"/>
  <c r="J1" i="4"/>
  <c r="K1" i="4"/>
  <c r="L1" i="4"/>
  <c r="N1" i="4"/>
  <c r="O1" i="4"/>
  <c r="A1" i="4"/>
  <c r="B11" i="3" l="1"/>
  <c r="I12" i="4"/>
  <c r="H12" i="4"/>
  <c r="G12" i="4"/>
  <c r="F12" i="4"/>
  <c r="E12" i="4"/>
  <c r="D12" i="4"/>
  <c r="C12" i="4"/>
  <c r="I11" i="4"/>
  <c r="H11" i="4"/>
  <c r="G11" i="4"/>
  <c r="F11" i="4"/>
  <c r="E11" i="4"/>
  <c r="D11" i="4"/>
  <c r="C11" i="4"/>
  <c r="I10" i="4"/>
  <c r="H10" i="4"/>
  <c r="G10" i="4"/>
  <c r="F10" i="4"/>
  <c r="E10" i="4"/>
  <c r="D10" i="4"/>
  <c r="C10" i="4"/>
  <c r="I9" i="4"/>
  <c r="H9" i="4"/>
  <c r="G9" i="4"/>
  <c r="F9" i="4"/>
  <c r="E9" i="4"/>
  <c r="D9" i="4"/>
  <c r="C9" i="4"/>
  <c r="I8" i="4"/>
  <c r="H8" i="4"/>
  <c r="G8" i="4"/>
  <c r="F8" i="4"/>
  <c r="E8" i="4"/>
  <c r="D8" i="4"/>
  <c r="C8" i="4"/>
  <c r="I7" i="4"/>
  <c r="H7" i="4"/>
  <c r="G7" i="4"/>
  <c r="F7" i="4"/>
  <c r="E7" i="4"/>
  <c r="D7" i="4"/>
  <c r="C7" i="4"/>
  <c r="I6" i="4"/>
  <c r="H6" i="4"/>
  <c r="G6" i="4"/>
  <c r="F6" i="4"/>
  <c r="E6" i="4"/>
  <c r="D6" i="4"/>
  <c r="C6" i="4"/>
  <c r="I5" i="4"/>
  <c r="H5" i="4"/>
  <c r="G5" i="4"/>
  <c r="F5" i="4"/>
  <c r="E5" i="4"/>
  <c r="D5" i="4"/>
  <c r="C5" i="4"/>
  <c r="I4" i="4"/>
  <c r="H4" i="4"/>
  <c r="G4" i="4"/>
  <c r="F4" i="4"/>
  <c r="E4" i="4"/>
  <c r="D4" i="4"/>
  <c r="C4" i="4"/>
  <c r="I3" i="4"/>
  <c r="H3" i="4"/>
  <c r="G3" i="4"/>
  <c r="F3" i="4"/>
  <c r="E3" i="4"/>
  <c r="D3" i="4"/>
  <c r="C3" i="4"/>
  <c r="I2" i="4"/>
  <c r="H2" i="4"/>
  <c r="G2" i="4"/>
  <c r="F2" i="4"/>
  <c r="E2" i="4"/>
  <c r="D2" i="4"/>
  <c r="C2" i="4"/>
  <c r="I1" i="4"/>
  <c r="H1" i="4"/>
  <c r="G1" i="4"/>
  <c r="F1" i="4"/>
  <c r="E1" i="4"/>
  <c r="D1" i="4"/>
  <c r="M36" i="1" l="1"/>
  <c r="M12" i="4" s="1"/>
  <c r="B12" i="4"/>
  <c r="M35" i="1"/>
  <c r="M11" i="4" s="1"/>
  <c r="B11" i="4"/>
  <c r="M34" i="1"/>
  <c r="M10" i="4" s="1"/>
  <c r="B10" i="4"/>
  <c r="M33" i="1"/>
  <c r="M9" i="4" s="1"/>
  <c r="B9" i="4"/>
  <c r="M32" i="1"/>
  <c r="M8" i="4" s="1"/>
  <c r="B8" i="4"/>
  <c r="M31" i="1"/>
  <c r="M7" i="4" s="1"/>
  <c r="B7" i="4"/>
  <c r="M30" i="1"/>
  <c r="M6" i="4" s="1"/>
  <c r="B6" i="4"/>
  <c r="M29" i="1"/>
  <c r="M5" i="4" s="1"/>
  <c r="B5" i="4"/>
  <c r="M28" i="1"/>
  <c r="M4" i="4" s="1"/>
  <c r="B4" i="4"/>
  <c r="M27" i="1"/>
  <c r="M3" i="4" s="1"/>
  <c r="B3" i="4"/>
  <c r="M26" i="1"/>
  <c r="M2" i="4" s="1"/>
  <c r="B2" i="4"/>
  <c r="M25" i="1"/>
  <c r="M1" i="4" s="1"/>
  <c r="B1" i="4"/>
  <c r="G17" i="3"/>
  <c r="F17" i="3"/>
  <c r="C16" i="3"/>
  <c r="D9" i="3"/>
  <c r="D10" i="3" s="1"/>
  <c r="B9" i="3"/>
  <c r="B10" i="3" s="1"/>
  <c r="F8" i="3"/>
  <c r="F9" i="3" s="1"/>
  <c r="F10" i="3" s="1"/>
  <c r="E8" i="3"/>
  <c r="E9" i="3" s="1"/>
  <c r="E10" i="3" s="1"/>
  <c r="D8" i="3"/>
  <c r="C8" i="3"/>
  <c r="C9" i="3" s="1"/>
  <c r="C10" i="3" s="1"/>
  <c r="B8" i="3"/>
  <c r="G5" i="3"/>
  <c r="F5" i="3"/>
  <c r="F6" i="3" s="1"/>
  <c r="E5" i="3"/>
  <c r="E6" i="3" s="1"/>
  <c r="D5" i="3"/>
  <c r="D6" i="3" s="1"/>
  <c r="C5" i="3"/>
  <c r="C6" i="3" s="1"/>
  <c r="B5" i="3"/>
  <c r="B6" i="3" s="1"/>
  <c r="H6" i="3" s="1"/>
  <c r="B15" i="3" s="1"/>
  <c r="D23" i="1" l="1"/>
  <c r="C1" i="4"/>
  <c r="B16" i="3"/>
  <c r="F15" i="3"/>
  <c r="G15" i="3"/>
  <c r="B2" i="2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" i="2"/>
  <c r="C1" i="2" s="1"/>
  <c r="F18" i="3" l="1"/>
  <c r="G18" i="3"/>
</calcChain>
</file>

<file path=xl/sharedStrings.xml><?xml version="1.0" encoding="utf-8"?>
<sst xmlns="http://schemas.openxmlformats.org/spreadsheetml/2006/main" count="87" uniqueCount="67">
  <si>
    <t>t1</t>
  </si>
  <si>
    <t>t2</t>
  </si>
  <si>
    <t>t3</t>
  </si>
  <si>
    <t>t4</t>
  </si>
  <si>
    <t>t5</t>
  </si>
  <si>
    <t>t6</t>
  </si>
  <si>
    <t>t7</t>
  </si>
  <si>
    <t>t8</t>
  </si>
  <si>
    <t>Object 1</t>
  </si>
  <si>
    <t>Object 2</t>
  </si>
  <si>
    <t>Object 3</t>
  </si>
  <si>
    <t>Object 4</t>
  </si>
  <si>
    <t>Object 5</t>
  </si>
  <si>
    <t>Object 6</t>
  </si>
  <si>
    <t>Summe</t>
  </si>
  <si>
    <t>Anzahl Wohnungen</t>
  </si>
  <si>
    <t>Qudratmeter pro Wohnung (Durchsnitt)</t>
  </si>
  <si>
    <t>Kaufpreis pro Quadratmeter</t>
  </si>
  <si>
    <t>Durschnittlicher Kaufpreis pro Wohnung</t>
  </si>
  <si>
    <t>Durschnittlicher Kaufpreis Objekt</t>
  </si>
  <si>
    <t>Durchschnittliche Miete pro Quadratmeter pro Monat</t>
  </si>
  <si>
    <t>Durschnittliche Miete pro Wohnung pro Monat</t>
  </si>
  <si>
    <t>Durschnittliche Miete pro Object pro Monat</t>
  </si>
  <si>
    <t>Durschnittliche Miete pro Object p. a.</t>
  </si>
  <si>
    <t>Tokens</t>
  </si>
  <si>
    <t>Investor 1</t>
  </si>
  <si>
    <t>Investor 2</t>
  </si>
  <si>
    <t>Anzahl</t>
  </si>
  <si>
    <t>Investment</t>
  </si>
  <si>
    <t>Wert insgesamt</t>
  </si>
  <si>
    <t>Anteil</t>
  </si>
  <si>
    <t>Wert pro Token</t>
  </si>
  <si>
    <t>Wert pro Token bei Kauf</t>
  </si>
  <si>
    <t>Anzahl Tokens</t>
  </si>
  <si>
    <t>Value</t>
  </si>
  <si>
    <t>Immobilien Nr.</t>
  </si>
  <si>
    <t>current price</t>
  </si>
  <si>
    <t>period 1</t>
  </si>
  <si>
    <t>period 2</t>
  </si>
  <si>
    <t>period 3</t>
  </si>
  <si>
    <t>period 4</t>
  </si>
  <si>
    <t>period 5</t>
  </si>
  <si>
    <t>period 6</t>
  </si>
  <si>
    <t>period 7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</si>
  <si>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</si>
  <si>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location</t>
  </si>
  <si>
    <t>rent p. a.</t>
  </si>
  <si>
    <t>armortisation</t>
  </si>
  <si>
    <t>Quadratmeter</t>
  </si>
  <si>
    <t>central</t>
  </si>
  <si>
    <t>oulying district</t>
  </si>
  <si>
    <t>maintenance</t>
  </si>
  <si>
    <t>year of construction</t>
  </si>
  <si>
    <t>high quality standards</t>
  </si>
  <si>
    <t>low quality standards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</si>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</sst>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%"/>
    <numFmt numFmtId="165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/>
    <xf numFmtId="9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0" fontId="0" fillId="0" borderId="0" xfId="0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0</xdr:rowOff>
        </xdr:from>
        <xdr:to>
          <xdr:col>5</xdr:col>
          <xdr:colOff>400050</xdr:colOff>
          <xdr:row>20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"/>
  <sheetViews>
    <sheetView tabSelected="1" topLeftCell="A16" zoomScale="89" workbookViewId="0">
      <selection activeCell="F30" sqref="F30"/>
    </sheetView>
  </sheetViews>
  <sheetFormatPr defaultColWidth="9.140625" defaultRowHeight="15" x14ac:dyDescent="0.25"/>
  <cols>
    <col min="1" max="1" width="14.42578125" bestFit="1" customWidth="1"/>
    <col min="2" max="2" width="13.42578125" bestFit="1" customWidth="1"/>
    <col min="3" max="3" width="11.28515625" bestFit="1" customWidth="1"/>
    <col min="4" max="8" width="13.42578125" bestFit="1" customWidth="1"/>
    <col min="9" max="9" width="12.28515625" bestFit="1" customWidth="1"/>
    <col min="11" max="11" width="14.5703125" bestFit="1" customWidth="1"/>
    <col min="13" max="13" width="13.42578125" bestFit="1" customWidth="1"/>
    <col min="14" max="14" width="21.28515625" bestFit="1" customWidth="1"/>
  </cols>
  <sheetData>
    <row r="1" spans="1:8" x14ac:dyDescent="0.25">
      <c r="A1" s="5">
        <v>22032643.055925291</v>
      </c>
      <c r="B1">
        <v>22709593.968930278</v>
      </c>
      <c r="C1">
        <v>22903296.116174392</v>
      </c>
      <c r="D1">
        <v>22991656.361308001</v>
      </c>
      <c r="E1">
        <v>22194480.79615692</v>
      </c>
      <c r="F1">
        <v>21393472.528111603</v>
      </c>
      <c r="G1">
        <v>21718081.96394971</v>
      </c>
      <c r="H1">
        <v>22821789.634065542</v>
      </c>
    </row>
    <row r="2" spans="1:8" x14ac:dyDescent="0.25">
      <c r="A2" s="5">
        <v>18573001.188887261</v>
      </c>
      <c r="B2">
        <v>18378494.72476441</v>
      </c>
      <c r="C2">
        <v>18208485.66349373</v>
      </c>
      <c r="D2">
        <v>18084510.7385763</v>
      </c>
      <c r="E2">
        <v>18020218.120104313</v>
      </c>
      <c r="F2">
        <v>17422920.113792606</v>
      </c>
      <c r="G2">
        <v>17174224.448346235</v>
      </c>
      <c r="H2">
        <v>17342242.595488284</v>
      </c>
    </row>
    <row r="3" spans="1:8" x14ac:dyDescent="0.25">
      <c r="A3" s="5">
        <v>20806390.780637853</v>
      </c>
      <c r="B3">
        <v>19945872.513187282</v>
      </c>
      <c r="C3">
        <v>20598618.194750652</v>
      </c>
      <c r="D3">
        <v>21086018.382269755</v>
      </c>
      <c r="E3">
        <v>21841767.124067333</v>
      </c>
      <c r="F3">
        <v>21556626.456083108</v>
      </c>
      <c r="G3">
        <v>21595419.894481052</v>
      </c>
      <c r="H3">
        <v>20848040.468573172</v>
      </c>
    </row>
    <row r="4" spans="1:8" x14ac:dyDescent="0.25">
      <c r="A4" s="5">
        <v>39688729.106676146</v>
      </c>
      <c r="B4">
        <v>39447343.408030242</v>
      </c>
      <c r="C4">
        <v>38096807.092382714</v>
      </c>
      <c r="D4">
        <v>37474114.882860124</v>
      </c>
      <c r="E4">
        <v>38436612.052388906</v>
      </c>
      <c r="F4">
        <v>37816533.260353997</v>
      </c>
      <c r="G4">
        <v>36508691.323501743</v>
      </c>
      <c r="H4">
        <v>36741781.806852669</v>
      </c>
    </row>
    <row r="5" spans="1:8" x14ac:dyDescent="0.25">
      <c r="A5" s="5">
        <v>18458788.500447098</v>
      </c>
      <c r="B5">
        <v>18408645.275640983</v>
      </c>
      <c r="C5">
        <v>19183901.318146225</v>
      </c>
      <c r="D5">
        <v>20082956.049579162</v>
      </c>
      <c r="E5">
        <v>19550383.882973209</v>
      </c>
      <c r="F5">
        <v>18951645.66435571</v>
      </c>
      <c r="G5">
        <v>19767857.780855246</v>
      </c>
      <c r="H5">
        <v>20730791.731813002</v>
      </c>
    </row>
    <row r="6" spans="1:8" x14ac:dyDescent="0.25">
      <c r="A6" s="5">
        <v>19526175.699241582</v>
      </c>
      <c r="B6">
        <v>19874299.076724607</v>
      </c>
      <c r="C6">
        <v>19468898.278758019</v>
      </c>
      <c r="D6">
        <v>18755334.165033773</v>
      </c>
      <c r="E6">
        <v>17899432.634330917</v>
      </c>
      <c r="F6">
        <v>17074777.140355486</v>
      </c>
      <c r="G6">
        <v>17834542.836620629</v>
      </c>
      <c r="H6">
        <v>17150570.50887952</v>
      </c>
    </row>
    <row r="7" spans="1:8" x14ac:dyDescent="0.25">
      <c r="A7" s="5">
        <v>11348121.150592078</v>
      </c>
      <c r="B7">
        <v>11583090.064301414</v>
      </c>
      <c r="C7">
        <v>11138681.978981791</v>
      </c>
      <c r="D7">
        <v>10725390.949227853</v>
      </c>
      <c r="E7">
        <v>10361130.867295189</v>
      </c>
      <c r="F7">
        <v>10031878.479504861</v>
      </c>
      <c r="G7">
        <v>10434030.424036087</v>
      </c>
      <c r="H7">
        <v>10055626.03687649</v>
      </c>
    </row>
    <row r="8" spans="1:8" x14ac:dyDescent="0.25">
      <c r="A8" s="5">
        <v>12886618.830264784</v>
      </c>
      <c r="B8">
        <v>13144909.339870069</v>
      </c>
      <c r="C8">
        <v>12747900.320799941</v>
      </c>
      <c r="D8">
        <v>13336745.306685979</v>
      </c>
      <c r="E8">
        <v>13772056.559705185</v>
      </c>
      <c r="F8">
        <v>14120234.541376462</v>
      </c>
      <c r="G8">
        <v>13759372.837080363</v>
      </c>
      <c r="H8">
        <v>13197247.718365828</v>
      </c>
    </row>
    <row r="9" spans="1:8" x14ac:dyDescent="0.25">
      <c r="A9" s="5">
        <v>13546870.81037611</v>
      </c>
      <c r="B9">
        <v>13301305.543473432</v>
      </c>
      <c r="C9">
        <v>13186087.520537857</v>
      </c>
      <c r="D9">
        <v>13271859.641687578</v>
      </c>
      <c r="E9">
        <v>13218970.921005338</v>
      </c>
      <c r="F9">
        <v>12994557.752491601</v>
      </c>
      <c r="G9">
        <v>13127646.077237366</v>
      </c>
      <c r="H9">
        <v>13538269.589647606</v>
      </c>
    </row>
    <row r="10" spans="1:8" x14ac:dyDescent="0.25">
      <c r="A10" s="5">
        <v>23259938.359157644</v>
      </c>
      <c r="B10">
        <v>22610297.622336749</v>
      </c>
      <c r="C10">
        <v>23356091.97070919</v>
      </c>
      <c r="D10">
        <v>23854624.967685487</v>
      </c>
      <c r="E10">
        <v>23998984.94348764</v>
      </c>
      <c r="F10">
        <v>23203509.001649242</v>
      </c>
      <c r="G10">
        <v>23432868.512057811</v>
      </c>
      <c r="H10">
        <v>23337627.420115948</v>
      </c>
    </row>
    <row r="11" spans="1:8" x14ac:dyDescent="0.25">
      <c r="A11" s="5">
        <v>13603660.699007327</v>
      </c>
      <c r="B11">
        <v>13157087.476420898</v>
      </c>
      <c r="C11">
        <v>13415160.31143395</v>
      </c>
      <c r="D11">
        <v>12943521.502976025</v>
      </c>
      <c r="E11">
        <v>13032947.635646498</v>
      </c>
      <c r="F11">
        <v>12431325.894832073</v>
      </c>
      <c r="G11">
        <v>11869306.455430334</v>
      </c>
      <c r="H11">
        <v>12128754.610318452</v>
      </c>
    </row>
    <row r="12" spans="1:8" x14ac:dyDescent="0.25">
      <c r="A12" s="5">
        <v>13553031.189661916</v>
      </c>
      <c r="B12">
        <v>13137577.288811306</v>
      </c>
      <c r="C12">
        <v>13560357.277558215</v>
      </c>
      <c r="D12">
        <v>13028588.867524855</v>
      </c>
      <c r="E12">
        <v>13453339.385618011</v>
      </c>
      <c r="F12">
        <v>13507348.295705356</v>
      </c>
      <c r="G12">
        <v>13805964.927427426</v>
      </c>
      <c r="H12">
        <v>13751708.906743286</v>
      </c>
    </row>
    <row r="13" spans="1:8" x14ac:dyDescent="0.25">
      <c r="A13" t="s">
        <v>0</v>
      </c>
      <c r="B13" t="s">
        <v>1</v>
      </c>
      <c r="C13" t="s">
        <v>2</v>
      </c>
      <c r="D13" t="s">
        <v>3</v>
      </c>
      <c r="E13" t="s">
        <v>4</v>
      </c>
      <c r="F13" t="s">
        <v>5</v>
      </c>
      <c r="G13" t="s">
        <v>6</v>
      </c>
      <c r="H13" t="s">
        <v>7</v>
      </c>
    </row>
    <row r="23" spans="1:15" x14ac:dyDescent="0.25">
      <c r="C23">
        <v>26464157.702991445</v>
      </c>
      <c r="D23" t="b">
        <f>IF(C23=C25,"Richtig")</f>
        <v>0</v>
      </c>
    </row>
    <row r="24" spans="1:15" ht="17.25" x14ac:dyDescent="0.25">
      <c r="A24" t="s">
        <v>35</v>
      </c>
      <c r="B24" t="s">
        <v>36</v>
      </c>
      <c r="C24" t="s">
        <v>37</v>
      </c>
      <c r="D24" t="s">
        <v>38</v>
      </c>
      <c r="E24" t="s">
        <v>39</v>
      </c>
      <c r="F24" t="s">
        <v>40</v>
      </c>
      <c r="G24" t="s">
        <v>41</v>
      </c>
      <c r="H24" t="s">
        <v>42</v>
      </c>
      <c r="I24" t="s">
        <v>43</v>
      </c>
      <c r="J24" t="s">
        <v>44</v>
      </c>
      <c r="K24" t="s">
        <v>45</v>
      </c>
      <c r="L24" t="s">
        <v>46</v>
      </c>
      <c r="M24" t="s">
        <v>47</v>
      </c>
      <c r="N24" t="s">
        <v>51</v>
      </c>
      <c r="O24" t="s">
        <v>52</v>
      </c>
    </row>
    <row r="25" spans="1:15" x14ac:dyDescent="0.25">
      <c r="A25" t="s">
        <v>55</v>
      </c>
      <c r="B25">
        <f>A1</f>
        <v>22032643.055925291</v>
      </c>
      <c r="C25" s="5">
        <f t="shared" ref="C25:I25" si="0">B1</f>
        <v>22709593.968930278</v>
      </c>
      <c r="D25" s="5">
        <f t="shared" si="0"/>
        <v>22903296.116174392</v>
      </c>
      <c r="E25" s="5">
        <f t="shared" si="0"/>
        <v>22991656.361308001</v>
      </c>
      <c r="F25" s="5">
        <f t="shared" si="0"/>
        <v>22194480.79615692</v>
      </c>
      <c r="G25" s="5">
        <f t="shared" si="0"/>
        <v>21393472.528111603</v>
      </c>
      <c r="H25" s="5">
        <f t="shared" si="0"/>
        <v>21718081.96394971</v>
      </c>
      <c r="I25" s="5">
        <f t="shared" si="0"/>
        <v>22821789.634065542</v>
      </c>
      <c r="J25">
        <v>7500</v>
      </c>
      <c r="K25" t="s">
        <v>49</v>
      </c>
      <c r="L25">
        <v>1350000</v>
      </c>
      <c r="M25">
        <f>B25/L25</f>
        <v>16.32047633772244</v>
      </c>
      <c r="N25" t="s">
        <v>53</v>
      </c>
      <c r="O25">
        <v>2014</v>
      </c>
    </row>
    <row r="26" spans="1:15" x14ac:dyDescent="0.25">
      <c r="A26" t="s">
        <v>56</v>
      </c>
      <c r="B26" s="5">
        <f t="shared" ref="B26:I26" si="1">A2</f>
        <v>18573001.188887261</v>
      </c>
      <c r="C26" s="5">
        <f t="shared" si="1"/>
        <v>18378494.72476441</v>
      </c>
      <c r="D26" s="5">
        <f t="shared" si="1"/>
        <v>18208485.66349373</v>
      </c>
      <c r="E26" s="5">
        <f t="shared" si="1"/>
        <v>18084510.7385763</v>
      </c>
      <c r="F26" s="5">
        <f t="shared" si="1"/>
        <v>18020218.120104313</v>
      </c>
      <c r="G26" s="5">
        <f t="shared" si="1"/>
        <v>17422920.113792606</v>
      </c>
      <c r="H26" s="5">
        <f t="shared" si="1"/>
        <v>17174224.448346235</v>
      </c>
      <c r="I26" s="5">
        <f t="shared" si="1"/>
        <v>17342242.595488284</v>
      </c>
      <c r="J26">
        <v>5500</v>
      </c>
      <c r="K26" t="s">
        <v>50</v>
      </c>
      <c r="L26">
        <v>850000</v>
      </c>
      <c r="M26">
        <f>B26/L26</f>
        <v>21.850589633985013</v>
      </c>
      <c r="N26" t="s">
        <v>54</v>
      </c>
      <c r="O26">
        <v>1970</v>
      </c>
    </row>
    <row r="27" spans="1:15" x14ac:dyDescent="0.25">
      <c r="A27" t="s">
        <v>57</v>
      </c>
      <c r="B27" s="5">
        <f t="shared" ref="B27:I27" si="2">A3</f>
        <v>20806390.780637853</v>
      </c>
      <c r="C27" s="5">
        <f t="shared" si="2"/>
        <v>19945872.513187282</v>
      </c>
      <c r="D27" s="5">
        <f t="shared" si="2"/>
        <v>20598618.194750652</v>
      </c>
      <c r="E27" s="5">
        <f t="shared" si="2"/>
        <v>21086018.382269755</v>
      </c>
      <c r="F27" s="5">
        <f t="shared" si="2"/>
        <v>21841767.124067333</v>
      </c>
      <c r="G27" s="5">
        <f t="shared" si="2"/>
        <v>21556626.456083108</v>
      </c>
      <c r="H27" s="5">
        <f t="shared" si="2"/>
        <v>21595419.894481052</v>
      </c>
      <c r="I27" s="5">
        <f t="shared" si="2"/>
        <v>20848040.468573172</v>
      </c>
      <c r="J27">
        <v>8800</v>
      </c>
      <c r="K27" t="s">
        <v>49</v>
      </c>
      <c r="L27">
        <v>1300000</v>
      </c>
      <c r="M27">
        <f t="shared" ref="M27:M36" si="3">B27/L27</f>
        <v>16.004915985106042</v>
      </c>
      <c r="N27" t="s">
        <v>54</v>
      </c>
      <c r="O27">
        <v>1971</v>
      </c>
    </row>
    <row r="28" spans="1:15" x14ac:dyDescent="0.25">
      <c r="A28" t="s">
        <v>58</v>
      </c>
      <c r="B28" s="5">
        <f t="shared" ref="B28:I28" si="4">A4</f>
        <v>39688729.106676146</v>
      </c>
      <c r="C28" s="5">
        <f t="shared" si="4"/>
        <v>39447343.408030242</v>
      </c>
      <c r="D28" s="5">
        <f t="shared" si="4"/>
        <v>38096807.092382714</v>
      </c>
      <c r="E28" s="5">
        <f t="shared" si="4"/>
        <v>37474114.882860124</v>
      </c>
      <c r="F28" s="5">
        <f t="shared" si="4"/>
        <v>38436612.052388906</v>
      </c>
      <c r="G28" s="5">
        <f t="shared" si="4"/>
        <v>37816533.260353997</v>
      </c>
      <c r="H28" s="5">
        <f t="shared" si="4"/>
        <v>36508691.323501743</v>
      </c>
      <c r="I28" s="5">
        <f t="shared" si="4"/>
        <v>36741781.806852669</v>
      </c>
      <c r="J28">
        <v>9000</v>
      </c>
      <c r="K28" t="s">
        <v>49</v>
      </c>
      <c r="L28">
        <v>1500000</v>
      </c>
      <c r="M28">
        <f t="shared" si="3"/>
        <v>26.459152737784098</v>
      </c>
      <c r="N28" t="s">
        <v>53</v>
      </c>
      <c r="O28">
        <v>2012</v>
      </c>
    </row>
    <row r="29" spans="1:15" x14ac:dyDescent="0.25">
      <c r="A29" t="s">
        <v>59</v>
      </c>
      <c r="B29" s="5">
        <f t="shared" ref="B29:I29" si="5">A5</f>
        <v>18458788.500447098</v>
      </c>
      <c r="C29" s="5">
        <f t="shared" si="5"/>
        <v>18408645.275640983</v>
      </c>
      <c r="D29" s="5">
        <f t="shared" si="5"/>
        <v>19183901.318146225</v>
      </c>
      <c r="E29" s="5">
        <f t="shared" si="5"/>
        <v>20082956.049579162</v>
      </c>
      <c r="F29" s="5">
        <f t="shared" si="5"/>
        <v>19550383.882973209</v>
      </c>
      <c r="G29" s="5">
        <f t="shared" si="5"/>
        <v>18951645.66435571</v>
      </c>
      <c r="H29" s="5">
        <f t="shared" si="5"/>
        <v>19767857.780855246</v>
      </c>
      <c r="I29" s="5">
        <f t="shared" si="5"/>
        <v>20730791.731813002</v>
      </c>
      <c r="J29">
        <v>5700</v>
      </c>
      <c r="K29" t="s">
        <v>49</v>
      </c>
      <c r="L29">
        <v>1000000</v>
      </c>
      <c r="M29">
        <f t="shared" si="3"/>
        <v>18.458788500447099</v>
      </c>
      <c r="N29" t="s">
        <v>53</v>
      </c>
      <c r="O29">
        <v>2011</v>
      </c>
    </row>
    <row r="30" spans="1:15" x14ac:dyDescent="0.25">
      <c r="A30" t="s">
        <v>60</v>
      </c>
      <c r="B30" s="5">
        <f t="shared" ref="B30:I30" si="6">A6</f>
        <v>19526175.699241582</v>
      </c>
      <c r="C30" s="5">
        <f t="shared" si="6"/>
        <v>19874299.076724607</v>
      </c>
      <c r="D30" s="5">
        <f t="shared" si="6"/>
        <v>19468898.278758019</v>
      </c>
      <c r="E30" s="5">
        <f t="shared" si="6"/>
        <v>18755334.165033773</v>
      </c>
      <c r="F30" s="5">
        <f t="shared" si="6"/>
        <v>17899432.634330917</v>
      </c>
      <c r="G30" s="5">
        <f t="shared" si="6"/>
        <v>17074777.140355486</v>
      </c>
      <c r="H30" s="5">
        <f t="shared" si="6"/>
        <v>17834542.836620629</v>
      </c>
      <c r="I30" s="5">
        <f t="shared" si="6"/>
        <v>17150570.50887952</v>
      </c>
      <c r="J30">
        <v>5000</v>
      </c>
      <c r="K30" t="s">
        <v>50</v>
      </c>
      <c r="L30">
        <v>900000</v>
      </c>
      <c r="M30">
        <f t="shared" si="3"/>
        <v>21.695750776935093</v>
      </c>
      <c r="N30" t="s">
        <v>53</v>
      </c>
      <c r="O30">
        <v>2009</v>
      </c>
    </row>
    <row r="31" spans="1:15" x14ac:dyDescent="0.25">
      <c r="A31" t="s">
        <v>61</v>
      </c>
      <c r="B31" s="5">
        <f t="shared" ref="B31:I31" si="7">A7</f>
        <v>11348121.150592078</v>
      </c>
      <c r="C31" s="5">
        <f t="shared" si="7"/>
        <v>11583090.064301414</v>
      </c>
      <c r="D31" s="5">
        <f t="shared" si="7"/>
        <v>11138681.978981791</v>
      </c>
      <c r="E31" s="5">
        <f t="shared" si="7"/>
        <v>10725390.949227853</v>
      </c>
      <c r="F31" s="5">
        <f t="shared" si="7"/>
        <v>10361130.867295189</v>
      </c>
      <c r="G31" s="5">
        <f t="shared" si="7"/>
        <v>10031878.479504861</v>
      </c>
      <c r="H31" s="5">
        <f t="shared" si="7"/>
        <v>10434030.424036087</v>
      </c>
      <c r="I31" s="5">
        <f t="shared" si="7"/>
        <v>10055626.03687649</v>
      </c>
      <c r="J31">
        <v>4200</v>
      </c>
      <c r="K31" t="s">
        <v>50</v>
      </c>
      <c r="L31">
        <v>600000</v>
      </c>
      <c r="M31">
        <f t="shared" si="3"/>
        <v>18.913535250986797</v>
      </c>
      <c r="N31" t="s">
        <v>54</v>
      </c>
      <c r="O31">
        <v>1986</v>
      </c>
    </row>
    <row r="32" spans="1:15" x14ac:dyDescent="0.25">
      <c r="A32" t="s">
        <v>62</v>
      </c>
      <c r="B32" s="5">
        <f t="shared" ref="B32:I32" si="8">A8</f>
        <v>12886618.830264784</v>
      </c>
      <c r="C32" s="5">
        <f t="shared" si="8"/>
        <v>13144909.339870069</v>
      </c>
      <c r="D32" s="5">
        <f t="shared" si="8"/>
        <v>12747900.320799941</v>
      </c>
      <c r="E32" s="5">
        <f t="shared" si="8"/>
        <v>13336745.306685979</v>
      </c>
      <c r="F32" s="5">
        <f t="shared" si="8"/>
        <v>13772056.559705185</v>
      </c>
      <c r="G32" s="5">
        <f t="shared" si="8"/>
        <v>14120234.541376462</v>
      </c>
      <c r="H32" s="5">
        <f t="shared" si="8"/>
        <v>13759372.837080363</v>
      </c>
      <c r="I32" s="5">
        <f t="shared" si="8"/>
        <v>13197247.718365828</v>
      </c>
      <c r="J32">
        <v>4400</v>
      </c>
      <c r="K32" t="s">
        <v>50</v>
      </c>
      <c r="L32">
        <v>750000</v>
      </c>
      <c r="M32">
        <f t="shared" si="3"/>
        <v>17.182158440353046</v>
      </c>
      <c r="N32" t="s">
        <v>53</v>
      </c>
      <c r="O32">
        <v>2005</v>
      </c>
    </row>
    <row r="33" spans="1:15" x14ac:dyDescent="0.25">
      <c r="A33" t="s">
        <v>63</v>
      </c>
      <c r="B33" s="5">
        <f t="shared" ref="B33:I33" si="9">A9</f>
        <v>13546870.81037611</v>
      </c>
      <c r="C33" s="5">
        <f t="shared" si="9"/>
        <v>13301305.543473432</v>
      </c>
      <c r="D33" s="5">
        <f t="shared" si="9"/>
        <v>13186087.520537857</v>
      </c>
      <c r="E33" s="5">
        <f t="shared" si="9"/>
        <v>13271859.641687578</v>
      </c>
      <c r="F33" s="5">
        <f t="shared" si="9"/>
        <v>13218970.921005338</v>
      </c>
      <c r="G33" s="5">
        <f t="shared" si="9"/>
        <v>12994557.752491601</v>
      </c>
      <c r="H33" s="5">
        <f t="shared" si="9"/>
        <v>13127646.077237366</v>
      </c>
      <c r="I33" s="5">
        <f t="shared" si="9"/>
        <v>13538269.589647606</v>
      </c>
      <c r="J33">
        <v>5600</v>
      </c>
      <c r="K33" t="s">
        <v>50</v>
      </c>
      <c r="L33">
        <v>840000</v>
      </c>
      <c r="M33">
        <f t="shared" si="3"/>
        <v>16.127227155209653</v>
      </c>
      <c r="N33" t="s">
        <v>54</v>
      </c>
      <c r="O33">
        <v>1992</v>
      </c>
    </row>
    <row r="34" spans="1:15" x14ac:dyDescent="0.25">
      <c r="A34" t="s">
        <v>64</v>
      </c>
      <c r="B34" s="5">
        <f t="shared" ref="B34:I34" si="10">A10</f>
        <v>23259938.359157644</v>
      </c>
      <c r="C34" s="5">
        <f t="shared" si="10"/>
        <v>22610297.622336749</v>
      </c>
      <c r="D34" s="5">
        <f t="shared" si="10"/>
        <v>23356091.97070919</v>
      </c>
      <c r="E34" s="5">
        <f t="shared" si="10"/>
        <v>23854624.967685487</v>
      </c>
      <c r="F34" s="5">
        <f t="shared" si="10"/>
        <v>23998984.94348764</v>
      </c>
      <c r="G34" s="5">
        <f t="shared" si="10"/>
        <v>23203509.001649242</v>
      </c>
      <c r="H34" s="5">
        <f t="shared" si="10"/>
        <v>23432868.512057811</v>
      </c>
      <c r="I34" s="5">
        <f t="shared" si="10"/>
        <v>23337627.420115948</v>
      </c>
      <c r="J34">
        <v>7200</v>
      </c>
      <c r="K34" t="s">
        <v>49</v>
      </c>
      <c r="L34">
        <v>1150000</v>
      </c>
      <c r="M34">
        <f t="shared" si="3"/>
        <v>20.226033355789255</v>
      </c>
      <c r="N34" t="s">
        <v>54</v>
      </c>
      <c r="O34">
        <v>1995</v>
      </c>
    </row>
    <row r="35" spans="1:15" x14ac:dyDescent="0.25">
      <c r="A35" t="s">
        <v>65</v>
      </c>
      <c r="B35" s="5">
        <f t="shared" ref="B35:I35" si="11">A11</f>
        <v>13603660.699007327</v>
      </c>
      <c r="C35" s="5">
        <f t="shared" si="11"/>
        <v>13157087.476420898</v>
      </c>
      <c r="D35" s="5">
        <f t="shared" si="11"/>
        <v>13415160.31143395</v>
      </c>
      <c r="E35" s="5">
        <f t="shared" si="11"/>
        <v>12943521.502976025</v>
      </c>
      <c r="F35" s="5">
        <f t="shared" si="11"/>
        <v>13032947.635646498</v>
      </c>
      <c r="G35" s="5">
        <f t="shared" si="11"/>
        <v>12431325.894832073</v>
      </c>
      <c r="H35" s="5">
        <f t="shared" si="11"/>
        <v>11869306.455430334</v>
      </c>
      <c r="I35" s="5">
        <f t="shared" si="11"/>
        <v>12128754.610318452</v>
      </c>
      <c r="J35">
        <v>4900</v>
      </c>
      <c r="K35" t="s">
        <v>50</v>
      </c>
      <c r="L35">
        <v>800000</v>
      </c>
      <c r="M35">
        <f t="shared" si="3"/>
        <v>17.004575873759158</v>
      </c>
      <c r="N35" t="s">
        <v>54</v>
      </c>
      <c r="O35">
        <v>1993</v>
      </c>
    </row>
    <row r="36" spans="1:15" x14ac:dyDescent="0.25">
      <c r="A36" t="s">
        <v>66</v>
      </c>
      <c r="B36" s="5">
        <f t="shared" ref="B36:I36" si="12">A12</f>
        <v>13553031.189661916</v>
      </c>
      <c r="C36" s="5">
        <f t="shared" si="12"/>
        <v>13137577.288811306</v>
      </c>
      <c r="D36" s="5">
        <f t="shared" si="12"/>
        <v>13560357.277558215</v>
      </c>
      <c r="E36" s="5">
        <f t="shared" si="12"/>
        <v>13028588.867524855</v>
      </c>
      <c r="F36" s="5">
        <f t="shared" si="12"/>
        <v>13453339.385618011</v>
      </c>
      <c r="G36" s="5">
        <f t="shared" si="12"/>
        <v>13507348.295705356</v>
      </c>
      <c r="H36" s="5">
        <f t="shared" si="12"/>
        <v>13805964.927427426</v>
      </c>
      <c r="I36" s="5">
        <f t="shared" si="12"/>
        <v>13751708.906743286</v>
      </c>
      <c r="J36">
        <v>4600</v>
      </c>
      <c r="K36" t="s">
        <v>50</v>
      </c>
      <c r="L36">
        <v>750000</v>
      </c>
      <c r="M36">
        <f t="shared" si="3"/>
        <v>18.070708252882554</v>
      </c>
      <c r="N36" t="s">
        <v>53</v>
      </c>
      <c r="O36">
        <v>2010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neue_periode">
                <anchor moveWithCells="1" sizeWithCells="1">
                  <from>
                    <xdr:col>2</xdr:col>
                    <xdr:colOff>9525</xdr:colOff>
                    <xdr:row>18</xdr:row>
                    <xdr:rowOff>0</xdr:rowOff>
                  </from>
                  <to>
                    <xdr:col>5</xdr:col>
                    <xdr:colOff>400050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4"/>
  <sheetViews>
    <sheetView workbookViewId="0">
      <selection activeCell="B14" sqref="B14"/>
    </sheetView>
  </sheetViews>
  <sheetFormatPr defaultColWidth="9.140625" defaultRowHeight="15" x14ac:dyDescent="0.25"/>
  <sheetData>
    <row r="1" spans="1:3" x14ac:dyDescent="0.25">
      <c r="A1">
        <v>100</v>
      </c>
      <c r="B1">
        <f ca="1">RAND()</f>
        <v>0.82610132558648253</v>
      </c>
      <c r="C1">
        <f ca="1">(B1-0.5)*2*$B$14</f>
        <v>3.2610132558648253E-2</v>
      </c>
    </row>
    <row r="2" spans="1:3" x14ac:dyDescent="0.25">
      <c r="A2">
        <v>100</v>
      </c>
      <c r="B2">
        <f t="shared" ref="B2:B12" ca="1" si="0">RAND()</f>
        <v>0.60268717638706837</v>
      </c>
      <c r="C2">
        <f t="shared" ref="C2:C12" ca="1" si="1">(B2-0.5)*2*$B$14</f>
        <v>1.0268717638706838E-2</v>
      </c>
    </row>
    <row r="3" spans="1:3" x14ac:dyDescent="0.25">
      <c r="A3">
        <v>100</v>
      </c>
      <c r="B3">
        <f t="shared" ca="1" si="0"/>
        <v>0.69253386601982569</v>
      </c>
      <c r="C3">
        <f t="shared" ca="1" si="1"/>
        <v>1.9253386601982572E-2</v>
      </c>
    </row>
    <row r="4" spans="1:3" x14ac:dyDescent="0.25">
      <c r="A4">
        <v>100</v>
      </c>
      <c r="B4">
        <f t="shared" ca="1" si="0"/>
        <v>0.62182354294383768</v>
      </c>
      <c r="C4">
        <f t="shared" ca="1" si="1"/>
        <v>1.2182354294383769E-2</v>
      </c>
    </row>
    <row r="5" spans="1:3" x14ac:dyDescent="0.25">
      <c r="A5">
        <v>100</v>
      </c>
      <c r="B5">
        <f t="shared" ca="1" si="0"/>
        <v>0.50463407183417364</v>
      </c>
      <c r="C5">
        <f t="shared" ca="1" si="1"/>
        <v>4.6340718341736364E-4</v>
      </c>
    </row>
    <row r="6" spans="1:3" x14ac:dyDescent="0.25">
      <c r="A6">
        <v>100</v>
      </c>
      <c r="B6">
        <f t="shared" ca="1" si="0"/>
        <v>0.34596910496565136</v>
      </c>
      <c r="C6">
        <f t="shared" ca="1" si="1"/>
        <v>-1.5403089503434865E-2</v>
      </c>
    </row>
    <row r="7" spans="1:3" x14ac:dyDescent="0.25">
      <c r="A7">
        <v>100</v>
      </c>
      <c r="B7">
        <f t="shared" ca="1" si="0"/>
        <v>0.77355195916288255</v>
      </c>
      <c r="C7">
        <f t="shared" ca="1" si="1"/>
        <v>2.7355195916288256E-2</v>
      </c>
    </row>
    <row r="8" spans="1:3" x14ac:dyDescent="0.25">
      <c r="A8">
        <v>100</v>
      </c>
      <c r="B8">
        <f t="shared" ca="1" si="0"/>
        <v>0.67711442227842944</v>
      </c>
      <c r="C8">
        <f t="shared" ca="1" si="1"/>
        <v>1.7711442227842943E-2</v>
      </c>
    </row>
    <row r="9" spans="1:3" x14ac:dyDescent="0.25">
      <c r="A9">
        <v>100</v>
      </c>
      <c r="B9">
        <f t="shared" ca="1" si="0"/>
        <v>0.68681972010991199</v>
      </c>
      <c r="C9">
        <f t="shared" ca="1" si="1"/>
        <v>1.8681972010991199E-2</v>
      </c>
    </row>
    <row r="10" spans="1:3" x14ac:dyDescent="0.25">
      <c r="A10">
        <v>100</v>
      </c>
      <c r="B10">
        <f t="shared" ca="1" si="0"/>
        <v>0.30110670945919449</v>
      </c>
      <c r="C10">
        <f t="shared" ca="1" si="1"/>
        <v>-1.9889329054080553E-2</v>
      </c>
    </row>
    <row r="11" spans="1:3" x14ac:dyDescent="0.25">
      <c r="A11">
        <v>100</v>
      </c>
      <c r="B11">
        <f t="shared" ca="1" si="0"/>
        <v>0.33879113646002124</v>
      </c>
      <c r="C11">
        <f t="shared" ca="1" si="1"/>
        <v>-1.6120886353997877E-2</v>
      </c>
    </row>
    <row r="12" spans="1:3" x14ac:dyDescent="0.25">
      <c r="A12">
        <v>100</v>
      </c>
      <c r="B12">
        <f t="shared" ca="1" si="0"/>
        <v>0.21688453202680058</v>
      </c>
      <c r="C12">
        <f t="shared" ca="1" si="1"/>
        <v>-2.8311546797319943E-2</v>
      </c>
    </row>
    <row r="14" spans="1:3" x14ac:dyDescent="0.25">
      <c r="B14">
        <v>0.05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45849-00F8-493F-828B-13CE92645997}">
  <sheetPr codeName="Sheet3"/>
  <dimension ref="A1:O12"/>
  <sheetViews>
    <sheetView workbookViewId="0">
      <selection activeCell="I4" sqref="I4"/>
    </sheetView>
  </sheetViews>
  <sheetFormatPr defaultRowHeight="15" x14ac:dyDescent="0.25"/>
  <sheetData>
    <row r="1" spans="1:15" x14ac:dyDescent="0.25">
      <c r="A1" t="str">
        <f>Sheet1!A25</f>
        <v>B1</v>
      </c>
      <c r="B1">
        <f>Sheet1!B25</f>
        <v>22032643.055925291</v>
      </c>
      <c r="C1">
        <f>Sheet1!C25</f>
        <v>22709593.968930278</v>
      </c>
      <c r="D1">
        <f>Sheet1!D25</f>
        <v>22903296.116174392</v>
      </c>
      <c r="E1">
        <f>Sheet1!E25</f>
        <v>22991656.361308001</v>
      </c>
      <c r="F1">
        <f>Sheet1!F25</f>
        <v>22194480.79615692</v>
      </c>
      <c r="G1">
        <f>Sheet1!G25</f>
        <v>21393472.528111603</v>
      </c>
      <c r="H1">
        <f>Sheet1!H25</f>
        <v>21718081.96394971</v>
      </c>
      <c r="I1">
        <f>Sheet1!I25</f>
        <v>22821789.634065542</v>
      </c>
      <c r="J1">
        <f>Sheet1!J25</f>
        <v>7500</v>
      </c>
      <c r="K1" t="str">
        <f>Sheet1!K25</f>
        <v>central</v>
      </c>
      <c r="L1">
        <f>Sheet1!L25</f>
        <v>1350000</v>
      </c>
      <c r="M1">
        <f>Sheet1!M25</f>
        <v>16.32047633772244</v>
      </c>
      <c r="N1" t="str">
        <f>Sheet1!N25</f>
        <v>high quality standards</v>
      </c>
      <c r="O1">
        <f>Sheet1!O25</f>
        <v>2014</v>
      </c>
    </row>
    <row r="2" spans="1:15" x14ac:dyDescent="0.25">
      <c r="A2" t="str">
        <f>Sheet1!A26</f>
        <v>B2</v>
      </c>
      <c r="B2">
        <f>Sheet1!B26</f>
        <v>18573001.188887261</v>
      </c>
      <c r="C2">
        <f>Sheet1!C26</f>
        <v>18378494.72476441</v>
      </c>
      <c r="D2">
        <f>Sheet1!D26</f>
        <v>18208485.66349373</v>
      </c>
      <c r="E2">
        <f>Sheet1!E26</f>
        <v>18084510.7385763</v>
      </c>
      <c r="F2">
        <f>Sheet1!F26</f>
        <v>18020218.120104313</v>
      </c>
      <c r="G2">
        <f>Sheet1!G26</f>
        <v>17422920.113792606</v>
      </c>
      <c r="H2">
        <f>Sheet1!H26</f>
        <v>17174224.448346235</v>
      </c>
      <c r="I2">
        <f>Sheet1!I26</f>
        <v>17342242.595488284</v>
      </c>
      <c r="J2">
        <f>Sheet1!J26</f>
        <v>5500</v>
      </c>
      <c r="K2" t="str">
        <f>Sheet1!K26</f>
        <v>oulying district</v>
      </c>
      <c r="L2">
        <f>Sheet1!L26</f>
        <v>850000</v>
      </c>
      <c r="M2">
        <f>Sheet1!M26</f>
        <v>21.850589633985013</v>
      </c>
      <c r="N2" t="str">
        <f>Sheet1!N26</f>
        <v>low quality standards</v>
      </c>
      <c r="O2">
        <f>Sheet1!O26</f>
        <v>1970</v>
      </c>
    </row>
    <row r="3" spans="1:15" x14ac:dyDescent="0.25">
      <c r="A3" t="str">
        <f>Sheet1!A27</f>
        <v>B3</v>
      </c>
      <c r="B3">
        <f>Sheet1!B27</f>
        <v>20806390.780637853</v>
      </c>
      <c r="C3">
        <f>Sheet1!C27</f>
        <v>19945872.513187282</v>
      </c>
      <c r="D3">
        <f>Sheet1!D27</f>
        <v>20598618.194750652</v>
      </c>
      <c r="E3">
        <f>Sheet1!E27</f>
        <v>21086018.382269755</v>
      </c>
      <c r="F3">
        <f>Sheet1!F27</f>
        <v>21841767.124067333</v>
      </c>
      <c r="G3">
        <f>Sheet1!G27</f>
        <v>21556626.456083108</v>
      </c>
      <c r="H3">
        <f>Sheet1!H27</f>
        <v>21595419.894481052</v>
      </c>
      <c r="I3">
        <f>Sheet1!I27</f>
        <v>20848040.468573172</v>
      </c>
      <c r="J3">
        <f>Sheet1!J27</f>
        <v>8800</v>
      </c>
      <c r="K3" t="str">
        <f>Sheet1!K27</f>
        <v>central</v>
      </c>
      <c r="L3">
        <f>Sheet1!L27</f>
        <v>1300000</v>
      </c>
      <c r="M3">
        <f>Sheet1!M27</f>
        <v>16.004915985106042</v>
      </c>
      <c r="N3" t="str">
        <f>Sheet1!N27</f>
        <v>low quality standards</v>
      </c>
      <c r="O3">
        <f>Sheet1!O27</f>
        <v>1971</v>
      </c>
    </row>
    <row r="4" spans="1:15" x14ac:dyDescent="0.25">
      <c r="A4" t="str">
        <f>Sheet1!A28</f>
        <v>B4</v>
      </c>
      <c r="B4">
        <f>Sheet1!B28</f>
        <v>39688729.106676146</v>
      </c>
      <c r="C4">
        <f>Sheet1!C28</f>
        <v>39447343.408030242</v>
      </c>
      <c r="D4">
        <f>Sheet1!D28</f>
        <v>38096807.092382714</v>
      </c>
      <c r="E4">
        <f>Sheet1!E28</f>
        <v>37474114.882860124</v>
      </c>
      <c r="F4">
        <f>Sheet1!F28</f>
        <v>38436612.052388906</v>
      </c>
      <c r="G4">
        <f>Sheet1!G28</f>
        <v>37816533.260353997</v>
      </c>
      <c r="H4">
        <f>Sheet1!H28</f>
        <v>36508691.323501743</v>
      </c>
      <c r="I4">
        <f>Sheet1!I28</f>
        <v>36741781.806852669</v>
      </c>
      <c r="J4">
        <f>Sheet1!J28</f>
        <v>9000</v>
      </c>
      <c r="K4" t="str">
        <f>Sheet1!K28</f>
        <v>central</v>
      </c>
      <c r="L4">
        <f>Sheet1!L28</f>
        <v>1500000</v>
      </c>
      <c r="M4">
        <f>Sheet1!M28</f>
        <v>26.459152737784098</v>
      </c>
      <c r="N4" t="str">
        <f>Sheet1!N28</f>
        <v>high quality standards</v>
      </c>
      <c r="O4">
        <f>Sheet1!O28</f>
        <v>2012</v>
      </c>
    </row>
    <row r="5" spans="1:15" x14ac:dyDescent="0.25">
      <c r="A5" t="str">
        <f>Sheet1!A29</f>
        <v>B5</v>
      </c>
      <c r="B5">
        <f>Sheet1!B29</f>
        <v>18458788.500447098</v>
      </c>
      <c r="C5">
        <f>Sheet1!C29</f>
        <v>18408645.275640983</v>
      </c>
      <c r="D5">
        <f>Sheet1!D29</f>
        <v>19183901.318146225</v>
      </c>
      <c r="E5">
        <f>Sheet1!E29</f>
        <v>20082956.049579162</v>
      </c>
      <c r="F5">
        <f>Sheet1!F29</f>
        <v>19550383.882973209</v>
      </c>
      <c r="G5">
        <f>Sheet1!G29</f>
        <v>18951645.66435571</v>
      </c>
      <c r="H5">
        <f>Sheet1!H29</f>
        <v>19767857.780855246</v>
      </c>
      <c r="I5">
        <f>Sheet1!I29</f>
        <v>20730791.731813002</v>
      </c>
      <c r="J5">
        <f>Sheet1!J29</f>
        <v>5700</v>
      </c>
      <c r="K5" t="str">
        <f>Sheet1!K29</f>
        <v>central</v>
      </c>
      <c r="L5">
        <f>Sheet1!L29</f>
        <v>1000000</v>
      </c>
      <c r="M5">
        <f>Sheet1!M29</f>
        <v>18.458788500447099</v>
      </c>
      <c r="N5" t="str">
        <f>Sheet1!N29</f>
        <v>high quality standards</v>
      </c>
      <c r="O5">
        <f>Sheet1!O29</f>
        <v>2011</v>
      </c>
    </row>
    <row r="6" spans="1:15" x14ac:dyDescent="0.25">
      <c r="A6" t="str">
        <f>Sheet1!A30</f>
        <v>B6</v>
      </c>
      <c r="B6">
        <f>Sheet1!B30</f>
        <v>19526175.699241582</v>
      </c>
      <c r="C6">
        <f>Sheet1!C30</f>
        <v>19874299.076724607</v>
      </c>
      <c r="D6">
        <f>Sheet1!D30</f>
        <v>19468898.278758019</v>
      </c>
      <c r="E6">
        <f>Sheet1!E30</f>
        <v>18755334.165033773</v>
      </c>
      <c r="F6">
        <f>Sheet1!F30</f>
        <v>17899432.634330917</v>
      </c>
      <c r="G6">
        <f>Sheet1!G30</f>
        <v>17074777.140355486</v>
      </c>
      <c r="H6">
        <f>Sheet1!H30</f>
        <v>17834542.836620629</v>
      </c>
      <c r="I6">
        <f>Sheet1!I30</f>
        <v>17150570.50887952</v>
      </c>
      <c r="J6">
        <f>Sheet1!J30</f>
        <v>5000</v>
      </c>
      <c r="K6" t="str">
        <f>Sheet1!K30</f>
        <v>oulying district</v>
      </c>
      <c r="L6">
        <f>Sheet1!L30</f>
        <v>900000</v>
      </c>
      <c r="M6">
        <f>Sheet1!M30</f>
        <v>21.695750776935093</v>
      </c>
      <c r="N6" t="str">
        <f>Sheet1!N30</f>
        <v>high quality standards</v>
      </c>
      <c r="O6">
        <f>Sheet1!O30</f>
        <v>2009</v>
      </c>
    </row>
    <row r="7" spans="1:15" x14ac:dyDescent="0.25">
      <c r="A7" t="str">
        <f>Sheet1!A31</f>
        <v>B7</v>
      </c>
      <c r="B7">
        <f>Sheet1!B31</f>
        <v>11348121.150592078</v>
      </c>
      <c r="C7">
        <f>Sheet1!C31</f>
        <v>11583090.064301414</v>
      </c>
      <c r="D7">
        <f>Sheet1!D31</f>
        <v>11138681.978981791</v>
      </c>
      <c r="E7">
        <f>Sheet1!E31</f>
        <v>10725390.949227853</v>
      </c>
      <c r="F7">
        <f>Sheet1!F31</f>
        <v>10361130.867295189</v>
      </c>
      <c r="G7">
        <f>Sheet1!G31</f>
        <v>10031878.479504861</v>
      </c>
      <c r="H7">
        <f>Sheet1!H31</f>
        <v>10434030.424036087</v>
      </c>
      <c r="I7">
        <f>Sheet1!I31</f>
        <v>10055626.03687649</v>
      </c>
      <c r="J7">
        <f>Sheet1!J31</f>
        <v>4200</v>
      </c>
      <c r="K7" t="str">
        <f>Sheet1!K31</f>
        <v>oulying district</v>
      </c>
      <c r="L7">
        <f>Sheet1!L31</f>
        <v>600000</v>
      </c>
      <c r="M7">
        <f>Sheet1!M31</f>
        <v>18.913535250986797</v>
      </c>
      <c r="N7" t="str">
        <f>Sheet1!N31</f>
        <v>low quality standards</v>
      </c>
      <c r="O7">
        <f>Sheet1!O31</f>
        <v>1986</v>
      </c>
    </row>
    <row r="8" spans="1:15" x14ac:dyDescent="0.25">
      <c r="A8" t="str">
        <f>Sheet1!A32</f>
        <v>B8</v>
      </c>
      <c r="B8">
        <f>Sheet1!B32</f>
        <v>12886618.830264784</v>
      </c>
      <c r="C8">
        <f>Sheet1!C32</f>
        <v>13144909.339870069</v>
      </c>
      <c r="D8">
        <f>Sheet1!D32</f>
        <v>12747900.320799941</v>
      </c>
      <c r="E8">
        <f>Sheet1!E32</f>
        <v>13336745.306685979</v>
      </c>
      <c r="F8">
        <f>Sheet1!F32</f>
        <v>13772056.559705185</v>
      </c>
      <c r="G8">
        <f>Sheet1!G32</f>
        <v>14120234.541376462</v>
      </c>
      <c r="H8">
        <f>Sheet1!H32</f>
        <v>13759372.837080363</v>
      </c>
      <c r="I8">
        <f>Sheet1!I32</f>
        <v>13197247.718365828</v>
      </c>
      <c r="J8">
        <f>Sheet1!J32</f>
        <v>4400</v>
      </c>
      <c r="K8" t="str">
        <f>Sheet1!K32</f>
        <v>oulying district</v>
      </c>
      <c r="L8">
        <f>Sheet1!L32</f>
        <v>750000</v>
      </c>
      <c r="M8">
        <f>Sheet1!M32</f>
        <v>17.182158440353046</v>
      </c>
      <c r="N8" t="str">
        <f>Sheet1!N32</f>
        <v>high quality standards</v>
      </c>
      <c r="O8">
        <f>Sheet1!O32</f>
        <v>2005</v>
      </c>
    </row>
    <row r="9" spans="1:15" x14ac:dyDescent="0.25">
      <c r="A9" t="str">
        <f>Sheet1!A33</f>
        <v>B9</v>
      </c>
      <c r="B9">
        <f>Sheet1!B33</f>
        <v>13546870.81037611</v>
      </c>
      <c r="C9">
        <f>Sheet1!C33</f>
        <v>13301305.543473432</v>
      </c>
      <c r="D9">
        <f>Sheet1!D33</f>
        <v>13186087.520537857</v>
      </c>
      <c r="E9">
        <f>Sheet1!E33</f>
        <v>13271859.641687578</v>
      </c>
      <c r="F9">
        <f>Sheet1!F33</f>
        <v>13218970.921005338</v>
      </c>
      <c r="G9">
        <f>Sheet1!G33</f>
        <v>12994557.752491601</v>
      </c>
      <c r="H9">
        <f>Sheet1!H33</f>
        <v>13127646.077237366</v>
      </c>
      <c r="I9">
        <f>Sheet1!I33</f>
        <v>13538269.589647606</v>
      </c>
      <c r="J9">
        <f>Sheet1!J33</f>
        <v>5600</v>
      </c>
      <c r="K9" t="str">
        <f>Sheet1!K33</f>
        <v>oulying district</v>
      </c>
      <c r="L9">
        <f>Sheet1!L33</f>
        <v>840000</v>
      </c>
      <c r="M9">
        <f>Sheet1!M33</f>
        <v>16.127227155209653</v>
      </c>
      <c r="N9" t="str">
        <f>Sheet1!N33</f>
        <v>low quality standards</v>
      </c>
      <c r="O9">
        <f>Sheet1!O33</f>
        <v>1992</v>
      </c>
    </row>
    <row r="10" spans="1:15" x14ac:dyDescent="0.25">
      <c r="A10" t="str">
        <f>Sheet1!A34</f>
        <v>B10</v>
      </c>
      <c r="B10">
        <f>Sheet1!B34</f>
        <v>23259938.359157644</v>
      </c>
      <c r="C10">
        <f>Sheet1!C34</f>
        <v>22610297.622336749</v>
      </c>
      <c r="D10">
        <f>Sheet1!D34</f>
        <v>23356091.97070919</v>
      </c>
      <c r="E10">
        <f>Sheet1!E34</f>
        <v>23854624.967685487</v>
      </c>
      <c r="F10">
        <f>Sheet1!F34</f>
        <v>23998984.94348764</v>
      </c>
      <c r="G10">
        <f>Sheet1!G34</f>
        <v>23203509.001649242</v>
      </c>
      <c r="H10">
        <f>Sheet1!H34</f>
        <v>23432868.512057811</v>
      </c>
      <c r="I10">
        <f>Sheet1!I34</f>
        <v>23337627.420115948</v>
      </c>
      <c r="J10">
        <f>Sheet1!J34</f>
        <v>7200</v>
      </c>
      <c r="K10" t="str">
        <f>Sheet1!K34</f>
        <v>central</v>
      </c>
      <c r="L10">
        <f>Sheet1!L34</f>
        <v>1150000</v>
      </c>
      <c r="M10">
        <f>Sheet1!M34</f>
        <v>20.226033355789255</v>
      </c>
      <c r="N10" t="str">
        <f>Sheet1!N34</f>
        <v>low quality standards</v>
      </c>
      <c r="O10">
        <f>Sheet1!O34</f>
        <v>1995</v>
      </c>
    </row>
    <row r="11" spans="1:15" x14ac:dyDescent="0.25">
      <c r="A11" t="str">
        <f>Sheet1!A35</f>
        <v>B11</v>
      </c>
      <c r="B11">
        <f>Sheet1!B35</f>
        <v>13603660.699007327</v>
      </c>
      <c r="C11">
        <f>Sheet1!C35</f>
        <v>13157087.476420898</v>
      </c>
      <c r="D11">
        <f>Sheet1!D35</f>
        <v>13415160.31143395</v>
      </c>
      <c r="E11">
        <f>Sheet1!E35</f>
        <v>12943521.502976025</v>
      </c>
      <c r="F11">
        <f>Sheet1!F35</f>
        <v>13032947.635646498</v>
      </c>
      <c r="G11">
        <f>Sheet1!G35</f>
        <v>12431325.894832073</v>
      </c>
      <c r="H11">
        <f>Sheet1!H35</f>
        <v>11869306.455430334</v>
      </c>
      <c r="I11">
        <f>Sheet1!I35</f>
        <v>12128754.610318452</v>
      </c>
      <c r="J11">
        <f>Sheet1!J35</f>
        <v>4900</v>
      </c>
      <c r="K11" t="str">
        <f>Sheet1!K35</f>
        <v>oulying district</v>
      </c>
      <c r="L11">
        <f>Sheet1!L35</f>
        <v>800000</v>
      </c>
      <c r="M11">
        <f>Sheet1!M35</f>
        <v>17.004575873759158</v>
      </c>
      <c r="N11" t="str">
        <f>Sheet1!N35</f>
        <v>low quality standards</v>
      </c>
      <c r="O11">
        <f>Sheet1!O35</f>
        <v>1993</v>
      </c>
    </row>
    <row r="12" spans="1:15" x14ac:dyDescent="0.25">
      <c r="A12" t="str">
        <f>Sheet1!A36</f>
        <v>B12</v>
      </c>
      <c r="B12">
        <f>Sheet1!B36</f>
        <v>13553031.189661916</v>
      </c>
      <c r="C12">
        <f>Sheet1!C36</f>
        <v>13137577.288811306</v>
      </c>
      <c r="D12">
        <f>Sheet1!D36</f>
        <v>13560357.277558215</v>
      </c>
      <c r="E12">
        <f>Sheet1!E36</f>
        <v>13028588.867524855</v>
      </c>
      <c r="F12">
        <f>Sheet1!F36</f>
        <v>13453339.385618011</v>
      </c>
      <c r="G12">
        <f>Sheet1!G36</f>
        <v>13507348.295705356</v>
      </c>
      <c r="H12">
        <f>Sheet1!H36</f>
        <v>13805964.927427426</v>
      </c>
      <c r="I12">
        <f>Sheet1!I36</f>
        <v>13751708.906743286</v>
      </c>
      <c r="J12">
        <f>Sheet1!J36</f>
        <v>4600</v>
      </c>
      <c r="K12" t="str">
        <f>Sheet1!K36</f>
        <v>oulying district</v>
      </c>
      <c r="L12">
        <f>Sheet1!L36</f>
        <v>750000</v>
      </c>
      <c r="M12">
        <f>Sheet1!M36</f>
        <v>18.070708252882554</v>
      </c>
      <c r="N12" t="str">
        <f>Sheet1!N36</f>
        <v>high quality standards</v>
      </c>
      <c r="O12">
        <f>Sheet1!O36</f>
        <v>2010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8"/>
  <sheetViews>
    <sheetView workbookViewId="0">
      <selection activeCell="B11" sqref="B11"/>
    </sheetView>
  </sheetViews>
  <sheetFormatPr defaultColWidth="11.42578125" defaultRowHeight="15" x14ac:dyDescent="0.25"/>
  <cols>
    <col min="1" max="1" width="49.140625" bestFit="1" customWidth="1"/>
  </cols>
  <sheetData>
    <row r="1" spans="1:8" x14ac:dyDescent="0.25">
      <c r="A1" s="1"/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</row>
    <row r="2" spans="1:8" x14ac:dyDescent="0.25">
      <c r="A2" t="s">
        <v>15</v>
      </c>
      <c r="B2">
        <v>200</v>
      </c>
      <c r="C2">
        <v>120</v>
      </c>
      <c r="D2">
        <v>210</v>
      </c>
      <c r="E2">
        <v>42</v>
      </c>
      <c r="F2">
        <v>95</v>
      </c>
      <c r="G2">
        <v>30</v>
      </c>
    </row>
    <row r="3" spans="1:8" x14ac:dyDescent="0.25">
      <c r="A3" t="s">
        <v>16</v>
      </c>
      <c r="B3">
        <v>30</v>
      </c>
      <c r="C3">
        <v>42</v>
      </c>
      <c r="D3">
        <v>33</v>
      </c>
      <c r="E3">
        <v>120</v>
      </c>
      <c r="F3">
        <v>61</v>
      </c>
      <c r="G3">
        <v>80</v>
      </c>
    </row>
    <row r="4" spans="1:8" x14ac:dyDescent="0.25">
      <c r="A4" t="s">
        <v>17</v>
      </c>
      <c r="B4">
        <v>3820</v>
      </c>
      <c r="C4">
        <v>3600</v>
      </c>
      <c r="D4">
        <v>3700</v>
      </c>
      <c r="E4">
        <v>5800</v>
      </c>
      <c r="F4">
        <v>3400</v>
      </c>
      <c r="G4">
        <v>4200</v>
      </c>
    </row>
    <row r="5" spans="1:8" x14ac:dyDescent="0.25">
      <c r="A5" t="s">
        <v>18</v>
      </c>
      <c r="B5">
        <f t="shared" ref="B5:G5" si="0">B3*B4</f>
        <v>114600</v>
      </c>
      <c r="C5">
        <f t="shared" si="0"/>
        <v>151200</v>
      </c>
      <c r="D5">
        <f t="shared" si="0"/>
        <v>122100</v>
      </c>
      <c r="E5">
        <f t="shared" si="0"/>
        <v>696000</v>
      </c>
      <c r="F5">
        <f t="shared" si="0"/>
        <v>207400</v>
      </c>
      <c r="G5">
        <f t="shared" si="0"/>
        <v>336000</v>
      </c>
    </row>
    <row r="6" spans="1:8" x14ac:dyDescent="0.25">
      <c r="A6" t="s">
        <v>19</v>
      </c>
      <c r="B6">
        <f>B5*B2</f>
        <v>22920000</v>
      </c>
      <c r="C6">
        <f>C5*C2</f>
        <v>18144000</v>
      </c>
      <c r="D6">
        <f>D5*D2</f>
        <v>25641000</v>
      </c>
      <c r="E6">
        <f>E5*E2</f>
        <v>29232000</v>
      </c>
      <c r="F6">
        <f>F5*F2</f>
        <v>19703000</v>
      </c>
      <c r="H6">
        <f>SUM(B6:G6)</f>
        <v>115640000</v>
      </c>
    </row>
    <row r="7" spans="1:8" x14ac:dyDescent="0.25">
      <c r="A7" t="s">
        <v>20</v>
      </c>
      <c r="B7">
        <v>16</v>
      </c>
      <c r="C7">
        <v>15.7</v>
      </c>
      <c r="D7">
        <v>15.9</v>
      </c>
      <c r="E7">
        <v>25</v>
      </c>
      <c r="F7">
        <v>14.2</v>
      </c>
    </row>
    <row r="8" spans="1:8" x14ac:dyDescent="0.25">
      <c r="A8" t="s">
        <v>21</v>
      </c>
      <c r="B8">
        <f>B7*B3</f>
        <v>480</v>
      </c>
      <c r="C8">
        <f>C7*C3</f>
        <v>659.4</v>
      </c>
      <c r="D8">
        <f>D7*D3</f>
        <v>524.70000000000005</v>
      </c>
      <c r="E8">
        <f>E7*E3</f>
        <v>3000</v>
      </c>
      <c r="F8">
        <f>F7*F3</f>
        <v>866.19999999999993</v>
      </c>
    </row>
    <row r="9" spans="1:8" x14ac:dyDescent="0.25">
      <c r="A9" t="s">
        <v>22</v>
      </c>
      <c r="B9">
        <f>B8*B2</f>
        <v>96000</v>
      </c>
      <c r="C9">
        <f>C8*C2</f>
        <v>79128</v>
      </c>
      <c r="D9">
        <f>D8*D2</f>
        <v>110187.00000000001</v>
      </c>
      <c r="E9">
        <f>E8*E2</f>
        <v>126000</v>
      </c>
      <c r="F9">
        <f>F8*F2</f>
        <v>82289</v>
      </c>
    </row>
    <row r="10" spans="1:8" x14ac:dyDescent="0.25">
      <c r="A10" t="s">
        <v>23</v>
      </c>
      <c r="B10">
        <f>B9*12</f>
        <v>1152000</v>
      </c>
      <c r="C10">
        <f>C9*12</f>
        <v>949536</v>
      </c>
      <c r="D10">
        <f>D9*12</f>
        <v>1322244.0000000002</v>
      </c>
      <c r="E10">
        <f>E9*12</f>
        <v>1512000</v>
      </c>
      <c r="F10">
        <f>F9*12</f>
        <v>987468</v>
      </c>
    </row>
    <row r="11" spans="1:8" x14ac:dyDescent="0.25">
      <c r="A11" t="s">
        <v>48</v>
      </c>
      <c r="B11">
        <f>B3*B2</f>
        <v>6000</v>
      </c>
    </row>
    <row r="13" spans="1:8" x14ac:dyDescent="0.25">
      <c r="A13" t="s">
        <v>24</v>
      </c>
      <c r="F13" t="s">
        <v>25</v>
      </c>
      <c r="G13" t="s">
        <v>26</v>
      </c>
    </row>
    <row r="14" spans="1:8" x14ac:dyDescent="0.25">
      <c r="A14" t="s">
        <v>27</v>
      </c>
      <c r="B14">
        <v>100000</v>
      </c>
      <c r="E14" t="s">
        <v>28</v>
      </c>
      <c r="F14">
        <v>10000</v>
      </c>
      <c r="G14">
        <v>35000</v>
      </c>
    </row>
    <row r="15" spans="1:8" x14ac:dyDescent="0.25">
      <c r="A15" t="s">
        <v>29</v>
      </c>
      <c r="B15">
        <f>H6</f>
        <v>115640000</v>
      </c>
      <c r="C15" s="2">
        <v>1</v>
      </c>
      <c r="E15" t="s">
        <v>30</v>
      </c>
      <c r="F15" s="3">
        <f>F14/$B$15</f>
        <v>8.6475268073331031E-5</v>
      </c>
      <c r="G15" s="3">
        <f>G14/$B$15</f>
        <v>3.0266343825665861E-4</v>
      </c>
    </row>
    <row r="16" spans="1:8" x14ac:dyDescent="0.25">
      <c r="A16" t="s">
        <v>31</v>
      </c>
      <c r="B16">
        <f>B15/B14</f>
        <v>1156.4000000000001</v>
      </c>
      <c r="C16" s="4">
        <f>C15/B14</f>
        <v>1.0000000000000001E-5</v>
      </c>
      <c r="E16" t="s">
        <v>32</v>
      </c>
      <c r="F16">
        <v>1130.0419999999999</v>
      </c>
      <c r="G16">
        <v>1130.0419999999999</v>
      </c>
    </row>
    <row r="17" spans="5:7" x14ac:dyDescent="0.25">
      <c r="E17" t="s">
        <v>33</v>
      </c>
      <c r="F17">
        <f>F14/$F$16</f>
        <v>8.8492286127418271</v>
      </c>
      <c r="G17">
        <f>G14/$F$16</f>
        <v>30.972300144596399</v>
      </c>
    </row>
    <row r="18" spans="5:7" x14ac:dyDescent="0.25">
      <c r="E18" t="s">
        <v>34</v>
      </c>
      <c r="F18">
        <f>$B$16*F17</f>
        <v>10233.247967774651</v>
      </c>
      <c r="G18">
        <f>$B$16*G17</f>
        <v>35816.36788721128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i</vt:lpstr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Ibrahim</dc:creator>
  <cp:lastModifiedBy>Ali Ibrahim</cp:lastModifiedBy>
  <dcterms:created xsi:type="dcterms:W3CDTF">2018-06-24T14:49:28Z</dcterms:created>
  <dcterms:modified xsi:type="dcterms:W3CDTF">2018-06-28T18:18:12Z</dcterms:modified>
</cp:coreProperties>
</file>